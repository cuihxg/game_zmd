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95" windowHeight="11304" firstSheet="1" activeTab="5"/>
  </bookViews>
  <sheets>
    <sheet name="据点产出" sheetId="1" r:id="rId1"/>
    <sheet name="商品产出" sheetId="3" r:id="rId2"/>
    <sheet name="毕业产线" sheetId="4" r:id="rId3"/>
    <sheet name="产物" sheetId="5" r:id="rId4"/>
    <sheet name="蓝图" sheetId="6" r:id="rId5"/>
    <sheet name="说明" sheetId="7" r:id="rId6"/>
  </sheets>
  <definedNames>
    <definedName name="_xlnm._FilterDatabase" localSheetId="3" hidden="1">产物!$A$1:$F$37</definedName>
  </definedNames>
  <calcPr calcId="144525"/>
</workbook>
</file>

<file path=xl/sharedStrings.xml><?xml version="1.0" encoding="utf-8"?>
<sst xmlns="http://schemas.openxmlformats.org/spreadsheetml/2006/main" count="125" uniqueCount="96">
  <si>
    <t>名称</t>
  </si>
  <si>
    <t>原始(每小时)</t>
  </si>
  <si>
    <t>实际(+20%)</t>
  </si>
  <si>
    <t>难民暂居处</t>
  </si>
  <si>
    <t>基建前站</t>
  </si>
  <si>
    <t>重建指挥部</t>
  </si>
  <si>
    <t>源矿(每分钟)</t>
  </si>
  <si>
    <t>紫晶矿(每分钟)</t>
  </si>
  <si>
    <t>蓝铁矿(每分钟)</t>
  </si>
  <si>
    <t>产量(每分钟)</t>
  </si>
  <si>
    <t>调度券价格</t>
  </si>
  <si>
    <t>荞愈胶嚢</t>
  </si>
  <si>
    <t>柑实罐头</t>
  </si>
  <si>
    <t>高容谷地电池</t>
  </si>
  <si>
    <t>精选荞愈胶嚢</t>
  </si>
  <si>
    <t>精选柑实罐头</t>
  </si>
  <si>
    <t>数量</t>
  </si>
  <si>
    <t>源矿</t>
  </si>
  <si>
    <t>紫晶矿</t>
  </si>
  <si>
    <t>蓝铁矿</t>
  </si>
  <si>
    <t>调度券</t>
  </si>
  <si>
    <t>备注</t>
  </si>
  <si>
    <t>已布置</t>
  </si>
  <si>
    <t>6个用来发电</t>
  </si>
  <si>
    <t>剩余产量</t>
  </si>
  <si>
    <t>用来做其他产物</t>
  </si>
  <si>
    <t>物品</t>
  </si>
  <si>
    <t>植物</t>
  </si>
  <si>
    <t>已制作</t>
  </si>
  <si>
    <t>碳块</t>
  </si>
  <si>
    <t>晶体外壳</t>
  </si>
  <si>
    <t>紫金纤维</t>
  </si>
  <si>
    <t>蓝铁块</t>
  </si>
  <si>
    <t>稳定碳块</t>
  </si>
  <si>
    <t>密制晶体</t>
  </si>
  <si>
    <t>高晶纤维</t>
  </si>
  <si>
    <t>钢块</t>
  </si>
  <si>
    <t>炭粉末</t>
  </si>
  <si>
    <t>源石粉末</t>
  </si>
  <si>
    <t>晶体外壳粉末</t>
  </si>
  <si>
    <t>紫晶粉末</t>
  </si>
  <si>
    <t>蓝铁粉末</t>
  </si>
  <si>
    <t>砂叶粉末</t>
  </si>
  <si>
    <t>酮化灌木粉末</t>
  </si>
  <si>
    <t>细磨荞花粉末</t>
  </si>
  <si>
    <t>细磨柑实粉末</t>
  </si>
  <si>
    <t>致密碳粉末</t>
  </si>
  <si>
    <t>致密源石粉末</t>
  </si>
  <si>
    <t>致密晶体粉末</t>
  </si>
  <si>
    <t>高精粉末</t>
  </si>
  <si>
    <t>致密蓝铁粉末</t>
  </si>
  <si>
    <t>紫晶质瓶</t>
  </si>
  <si>
    <t>蓝铁瓶</t>
  </si>
  <si>
    <t>高晶质瓶</t>
  </si>
  <si>
    <t>钢铁瓶</t>
  </si>
  <si>
    <t>紫晶零件</t>
  </si>
  <si>
    <t>铁制零件</t>
  </si>
  <si>
    <t>高晶零件</t>
  </si>
  <si>
    <t>钢制零件</t>
  </si>
  <si>
    <t>紫晶装备原件</t>
  </si>
  <si>
    <t>蓝铁装备原件</t>
  </si>
  <si>
    <t>高晶装备原件</t>
  </si>
  <si>
    <t>低容谷地电池</t>
  </si>
  <si>
    <t>中容谷底电池</t>
  </si>
  <si>
    <t>高容谷底电池</t>
  </si>
  <si>
    <t>分享码</t>
  </si>
  <si>
    <t>谷地-半-紫药</t>
  </si>
  <si>
    <t>EF011I9A28eA3Uo634O7</t>
  </si>
  <si>
    <t>谷地-断电抢救</t>
  </si>
  <si>
    <t>EF014AEu9eou73U5E71A</t>
  </si>
  <si>
    <t>谷底-全-蓝药</t>
  </si>
  <si>
    <t>EF01o5u1AE0126E1IieO</t>
  </si>
  <si>
    <t>谷地-全-紫药</t>
  </si>
  <si>
    <t>EF01ao6i437iuA4Ooe5e</t>
  </si>
  <si>
    <t>谷地-全-紫电</t>
  </si>
  <si>
    <t>EF018OIai29a41A6UI73</t>
  </si>
  <si>
    <t>谷地-种植*2</t>
  </si>
  <si>
    <t>EF01I436UOa6E9ai5o08</t>
  </si>
  <si>
    <t>源石基础产物</t>
  </si>
  <si>
    <t>EF018OIai29a415OUI73</t>
  </si>
  <si>
    <t>蓝/紫基础产物</t>
  </si>
  <si>
    <t>EF013Eo0e4605aU40579</t>
  </si>
  <si>
    <t>蓝/紫研磨产物</t>
  </si>
  <si>
    <t>EF01I436UOa6E9985o08</t>
  </si>
  <si>
    <t>源石研磨产物</t>
  </si>
  <si>
    <t>EF01U9eE814EaOO67Oa8</t>
  </si>
  <si>
    <t>谷地-碳块扩展</t>
  </si>
  <si>
    <t>EF014AEu9eou73i8E71A</t>
  </si>
  <si>
    <t>谷地-单行种植</t>
  </si>
  <si>
    <t>EF01o5u1AE0126o2IieO</t>
  </si>
  <si>
    <t>地区名称</t>
  </si>
  <si>
    <t>放置蓝图</t>
  </si>
  <si>
    <t>谷地通道</t>
  </si>
  <si>
    <t>枢纽区</t>
  </si>
  <si>
    <t>源石研究园</t>
  </si>
  <si>
    <t>供能高地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</si>
</sst>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;\-;\-#"/>
    <numFmt numFmtId="178" formatCode="0_);[Red]\(0\)"/>
  </numFmts>
  <fonts count="21">
    <font>
      <sz val="11"/>
      <color theme="1"/>
      <name val="宋体"/>
      <charset val="134"/>
      <scheme val="minor"/>
    </font>
    <font>
      <sz val="11"/>
      <color theme="0" tint="-0.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11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3" borderId="1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Protection="1">
      <alignment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1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0" fillId="2" borderId="0" xfId="0" applyFill="1">
      <alignment vertical="center"/>
    </xf>
    <xf numFmtId="0" fontId="0" fillId="2" borderId="0" xfId="0" applyFill="1" applyProtection="1">
      <alignment vertical="center"/>
      <protection locked="0"/>
    </xf>
    <xf numFmtId="176" fontId="0" fillId="0" borderId="0" xfId="0" applyNumberFormat="1">
      <alignment vertical="center"/>
    </xf>
    <xf numFmtId="178" fontId="0" fillId="2" borderId="0" xfId="0" applyNumberFormat="1" applyFill="1">
      <alignment vertical="center"/>
    </xf>
    <xf numFmtId="178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FF00"/>
        </patternFill>
      </fill>
    </dxf>
    <dxf>
      <font>
        <color theme="0" tint="-0.2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8.88888888888889" defaultRowHeight="14.4" outlineLevelRow="3" outlineLevelCol="2"/>
  <cols>
    <col min="1" max="1" width="11.8888888888889" style="10" customWidth="1"/>
    <col min="2" max="2" width="14.1111111111111" style="10" customWidth="1"/>
    <col min="3" max="3" width="11.8888888888889" style="10" customWidth="1"/>
  </cols>
  <sheetData>
    <row r="1" spans="1:3">
      <c r="A1" s="10" t="s">
        <v>0</v>
      </c>
      <c r="B1" s="10" t="s">
        <v>1</v>
      </c>
      <c r="C1" s="10" t="s">
        <v>2</v>
      </c>
    </row>
    <row r="2" spans="1:3">
      <c r="A2" s="10" t="s">
        <v>3</v>
      </c>
      <c r="B2" s="10">
        <v>24290</v>
      </c>
      <c r="C2" s="10">
        <f>B2*1.2</f>
        <v>29148</v>
      </c>
    </row>
    <row r="3" spans="1:3">
      <c r="A3" s="10" t="s">
        <v>4</v>
      </c>
      <c r="B3" s="10">
        <v>32480</v>
      </c>
      <c r="C3" s="10">
        <f>B3*1.2</f>
        <v>38976</v>
      </c>
    </row>
    <row r="4" spans="1:3">
      <c r="A4" s="10" t="s">
        <v>5</v>
      </c>
      <c r="B4" s="10">
        <v>42840</v>
      </c>
      <c r="C4" s="10">
        <f>B4*1.2</f>
        <v>51408</v>
      </c>
    </row>
  </sheetData>
  <sheetProtection sheet="1" objects="1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8.88888888888889" defaultRowHeight="14.4" outlineLevelRow="5" outlineLevelCol="5"/>
  <cols>
    <col min="1" max="1" width="14.1111111111111" style="10" customWidth="1"/>
    <col min="2" max="2" width="14.1111111111111" style="9" customWidth="1"/>
    <col min="3" max="4" width="16.4444444444444" style="9" customWidth="1"/>
    <col min="5" max="5" width="14.1111111111111" style="10" customWidth="1"/>
    <col min="6" max="6" width="11.8888888888889" style="10" customWidth="1"/>
  </cols>
  <sheetData>
    <row r="1" spans="1:6">
      <c r="A1" s="10" t="s">
        <v>0</v>
      </c>
      <c r="B1" s="9" t="s">
        <v>6</v>
      </c>
      <c r="C1" s="9" t="s">
        <v>7</v>
      </c>
      <c r="D1" s="9" t="s">
        <v>8</v>
      </c>
      <c r="E1" s="10" t="s">
        <v>9</v>
      </c>
      <c r="F1" s="10" t="s">
        <v>10</v>
      </c>
    </row>
    <row r="2" spans="1:6">
      <c r="A2" s="10" t="s">
        <v>11</v>
      </c>
      <c r="B2" s="9">
        <v>0</v>
      </c>
      <c r="C2" s="9">
        <v>60</v>
      </c>
      <c r="D2" s="9">
        <v>0</v>
      </c>
      <c r="E2" s="10">
        <v>6</v>
      </c>
      <c r="F2" s="10">
        <v>10</v>
      </c>
    </row>
    <row r="3" spans="1:6">
      <c r="A3" s="10" t="s">
        <v>12</v>
      </c>
      <c r="B3" s="9">
        <v>0</v>
      </c>
      <c r="C3" s="9">
        <v>60</v>
      </c>
      <c r="D3" s="9">
        <v>0</v>
      </c>
      <c r="E3" s="10">
        <v>6</v>
      </c>
      <c r="F3" s="10">
        <v>10</v>
      </c>
    </row>
    <row r="4" spans="1:6">
      <c r="A4" s="10" t="s">
        <v>13</v>
      </c>
      <c r="B4" s="9">
        <v>180</v>
      </c>
      <c r="C4" s="9">
        <v>0</v>
      </c>
      <c r="D4" s="9">
        <v>120</v>
      </c>
      <c r="E4" s="10">
        <v>6</v>
      </c>
      <c r="F4" s="10">
        <v>70</v>
      </c>
    </row>
    <row r="5" spans="1:6">
      <c r="A5" s="10" t="s">
        <v>14</v>
      </c>
      <c r="B5" s="9">
        <v>0</v>
      </c>
      <c r="C5" s="9">
        <v>0</v>
      </c>
      <c r="D5" s="9">
        <v>240</v>
      </c>
      <c r="E5" s="10">
        <v>6</v>
      </c>
      <c r="F5" s="10">
        <v>70</v>
      </c>
    </row>
    <row r="6" spans="1:6">
      <c r="A6" s="10" t="s">
        <v>15</v>
      </c>
      <c r="B6" s="9">
        <v>0</v>
      </c>
      <c r="C6" s="9">
        <v>0</v>
      </c>
      <c r="D6" s="9">
        <v>240</v>
      </c>
      <c r="E6" s="10">
        <v>6</v>
      </c>
      <c r="F6" s="10">
        <v>70</v>
      </c>
    </row>
  </sheetData>
  <sheetProtection sheet="1" objects="1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"/>
    </sheetView>
  </sheetViews>
  <sheetFormatPr defaultColWidth="8.88888888888889" defaultRowHeight="14.4" outlineLevelCol="7"/>
  <cols>
    <col min="1" max="1" width="14.1111111111111" customWidth="1"/>
    <col min="3" max="3" width="5.66666666666667" customWidth="1"/>
    <col min="4" max="5" width="7.66666666666667" customWidth="1"/>
    <col min="6" max="6" width="8.66666666666667" customWidth="1"/>
    <col min="7" max="7" width="13" customWidth="1"/>
  </cols>
  <sheetData>
    <row r="1" spans="1:8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11</v>
      </c>
      <c r="B2" s="12">
        <v>1</v>
      </c>
      <c r="C2">
        <f>VLOOKUP(A2,商品产出!A:B,2,0)*B2</f>
        <v>0</v>
      </c>
      <c r="D2">
        <f>VLOOKUP(A2,商品产出!A:C,3,0)*B2</f>
        <v>60</v>
      </c>
      <c r="E2">
        <f>VLOOKUP(A2,商品产出!A:D,4,0)*B2</f>
        <v>0</v>
      </c>
      <c r="F2">
        <f>VLOOKUP(A2,商品产出!A:E,5,0)*B2*60*VLOOKUP(A2,商品产出!A:F,6,0)</f>
        <v>3600</v>
      </c>
      <c r="H2" s="3"/>
    </row>
    <row r="3" spans="1:8">
      <c r="A3" t="s">
        <v>12</v>
      </c>
      <c r="B3" s="12">
        <v>1</v>
      </c>
      <c r="C3">
        <f>VLOOKUP(A3,商品产出!A:B,2,0)*B3</f>
        <v>0</v>
      </c>
      <c r="D3">
        <f>VLOOKUP(A3,商品产出!A:C,3,0)*B3</f>
        <v>60</v>
      </c>
      <c r="E3">
        <f>VLOOKUP(A3,商品产出!A:D,4,0)*B3</f>
        <v>0</v>
      </c>
      <c r="F3">
        <f>VLOOKUP(A3,商品产出!A:E,5,0)*B3*60*VLOOKUP(A3,商品产出!A:F,6,0)</f>
        <v>3600</v>
      </c>
      <c r="H3" s="3"/>
    </row>
    <row r="4" spans="1:8">
      <c r="A4" t="s">
        <v>13</v>
      </c>
      <c r="B4" s="12">
        <v>2</v>
      </c>
      <c r="C4">
        <f>VLOOKUP(A4,商品产出!A:B,2,0)*B4</f>
        <v>360</v>
      </c>
      <c r="D4">
        <f>VLOOKUP(A4,商品产出!A:C,3,0)*B4</f>
        <v>0</v>
      </c>
      <c r="E4">
        <f>VLOOKUP(A4,商品产出!A:D,4,0)*B4</f>
        <v>240</v>
      </c>
      <c r="F4">
        <f>VLOOKUP(A4,商品产出!A:E,5,0)*B4*60*VLOOKUP(A4,商品产出!A:F,6,0)</f>
        <v>50400</v>
      </c>
      <c r="H4" s="3"/>
    </row>
    <row r="5" spans="1:8">
      <c r="A5" s="13" t="s">
        <v>13</v>
      </c>
      <c r="B5" s="14">
        <v>1</v>
      </c>
      <c r="C5" s="13">
        <f>VLOOKUP(A5,商品产出!A:B,2,0)*B5</f>
        <v>180</v>
      </c>
      <c r="D5" s="13">
        <f>VLOOKUP(A5,商品产出!A:C,3,0)*B5</f>
        <v>0</v>
      </c>
      <c r="E5" s="13">
        <f>VLOOKUP(A5,商品产出!A:D,4,0)*B5</f>
        <v>120</v>
      </c>
      <c r="F5" s="13">
        <v>0</v>
      </c>
      <c r="G5" s="13" t="s">
        <v>23</v>
      </c>
      <c r="H5" s="3"/>
    </row>
    <row r="6" spans="1:8">
      <c r="A6" t="s">
        <v>14</v>
      </c>
      <c r="B6" s="12">
        <v>1.5</v>
      </c>
      <c r="C6">
        <f>VLOOKUP(A6,商品产出!A:B,2,0)*B6</f>
        <v>0</v>
      </c>
      <c r="D6">
        <f>VLOOKUP(A6,商品产出!A:C,3,0)*B6</f>
        <v>0</v>
      </c>
      <c r="E6">
        <f>VLOOKUP(A6,商品产出!A:D,4,0)*B6</f>
        <v>360</v>
      </c>
      <c r="F6">
        <f>VLOOKUP(A6,商品产出!A:E,5,0)*B6*60*VLOOKUP(A6,商品产出!A:F,6,0)</f>
        <v>37800</v>
      </c>
      <c r="H6" s="3"/>
    </row>
    <row r="7" spans="1:8">
      <c r="A7" t="s">
        <v>15</v>
      </c>
      <c r="B7" s="12">
        <v>1</v>
      </c>
      <c r="C7">
        <f>VLOOKUP(A7,商品产出!A:B,2,0)*B7</f>
        <v>0</v>
      </c>
      <c r="D7">
        <f>VLOOKUP(A7,商品产出!A:C,3,0)*B7</f>
        <v>0</v>
      </c>
      <c r="E7">
        <f>VLOOKUP(A7,商品产出!A:D,4,0)*B7</f>
        <v>240</v>
      </c>
      <c r="F7">
        <f>VLOOKUP(A7,商品产出!A:E,5,0)*B7*60*VLOOKUP(A7,商品产出!A:F,6,0)</f>
        <v>25200</v>
      </c>
      <c r="H7" s="3"/>
    </row>
    <row r="8" spans="1:6">
      <c r="A8" s="15" t="s">
        <v>24</v>
      </c>
      <c r="B8" s="15"/>
      <c r="C8" s="16">
        <f>560-SUM(C2:C7)</f>
        <v>20</v>
      </c>
      <c r="D8" s="16">
        <f>240-SUM(D2:D7)</f>
        <v>120</v>
      </c>
      <c r="E8" s="16">
        <f>1080-SUM(E2:E7)</f>
        <v>120</v>
      </c>
      <c r="F8" s="17">
        <f>ROUND(SUM(F2:F7)-SUM(据点产出!C2:C4),0)</f>
        <v>1068</v>
      </c>
    </row>
    <row r="9" spans="3:5">
      <c r="C9" s="18" t="s">
        <v>25</v>
      </c>
      <c r="D9" s="18"/>
      <c r="E9" s="18"/>
    </row>
  </sheetData>
  <sheetProtection sheet="1" objects="1"/>
  <mergeCells count="1">
    <mergeCell ref="C9:E9"/>
  </mergeCells>
  <conditionalFormatting sqref="H$1:H$1048576">
    <cfRule type="expression" dxfId="0" priority="1">
      <formula>AND(ISNUMBER($B1),$B1-H1&lt;&gt;0)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8888888888889" defaultRowHeight="14.4" outlineLevelCol="5"/>
  <cols>
    <col min="1" max="1" width="14.1111111111111" customWidth="1"/>
    <col min="2" max="2" width="5.66666666666667" style="9" customWidth="1"/>
    <col min="3" max="5" width="7.66666666666667" style="9" customWidth="1"/>
  </cols>
  <sheetData>
    <row r="1" spans="1:6">
      <c r="A1" s="10" t="s">
        <v>26</v>
      </c>
      <c r="B1" s="9" t="s">
        <v>17</v>
      </c>
      <c r="C1" s="9" t="s">
        <v>18</v>
      </c>
      <c r="D1" s="9" t="s">
        <v>19</v>
      </c>
      <c r="E1" s="9" t="s">
        <v>27</v>
      </c>
      <c r="F1" s="10" t="s">
        <v>28</v>
      </c>
    </row>
    <row r="2" spans="1:6">
      <c r="A2" s="10" t="s">
        <v>29</v>
      </c>
      <c r="B2" s="9">
        <v>0</v>
      </c>
      <c r="C2" s="9">
        <v>0</v>
      </c>
      <c r="D2" s="9">
        <v>0</v>
      </c>
      <c r="E2" s="9">
        <v>1</v>
      </c>
      <c r="F2" s="11"/>
    </row>
    <row r="3" spans="1:6">
      <c r="A3" s="10" t="s">
        <v>30</v>
      </c>
      <c r="B3" s="9">
        <v>1</v>
      </c>
      <c r="C3" s="9">
        <v>0</v>
      </c>
      <c r="D3" s="9">
        <v>0</v>
      </c>
      <c r="E3" s="9">
        <v>0</v>
      </c>
      <c r="F3" s="11"/>
    </row>
    <row r="4" spans="1:6">
      <c r="A4" s="10" t="s">
        <v>31</v>
      </c>
      <c r="B4" s="9">
        <v>0</v>
      </c>
      <c r="C4" s="9">
        <v>1</v>
      </c>
      <c r="D4" s="9">
        <v>0</v>
      </c>
      <c r="E4" s="9">
        <v>0</v>
      </c>
      <c r="F4" s="11"/>
    </row>
    <row r="5" spans="1:6">
      <c r="A5" s="10" t="s">
        <v>32</v>
      </c>
      <c r="B5" s="9">
        <v>0</v>
      </c>
      <c r="C5" s="9">
        <v>0</v>
      </c>
      <c r="D5" s="9">
        <v>1</v>
      </c>
      <c r="E5" s="9">
        <v>0</v>
      </c>
      <c r="F5" s="11"/>
    </row>
    <row r="6" spans="1:6">
      <c r="A6" s="10" t="s">
        <v>33</v>
      </c>
      <c r="B6" s="9">
        <v>0</v>
      </c>
      <c r="C6" s="9">
        <v>0</v>
      </c>
      <c r="D6" s="9">
        <v>0</v>
      </c>
      <c r="E6" s="9">
        <v>1</v>
      </c>
      <c r="F6" s="11"/>
    </row>
    <row r="7" spans="1:6">
      <c r="A7" s="10" t="s">
        <v>34</v>
      </c>
      <c r="B7" s="9">
        <v>1</v>
      </c>
      <c r="C7" s="9">
        <v>0</v>
      </c>
      <c r="D7" s="9">
        <v>0</v>
      </c>
      <c r="E7" s="9">
        <v>1</v>
      </c>
      <c r="F7" s="11"/>
    </row>
    <row r="8" spans="1:6">
      <c r="A8" s="10" t="s">
        <v>35</v>
      </c>
      <c r="B8" s="9">
        <v>0</v>
      </c>
      <c r="C8" s="9">
        <v>1</v>
      </c>
      <c r="D8" s="9">
        <v>0</v>
      </c>
      <c r="E8" s="9">
        <v>1</v>
      </c>
      <c r="F8" s="11"/>
    </row>
    <row r="9" spans="1:6">
      <c r="A9" s="10" t="s">
        <v>36</v>
      </c>
      <c r="B9" s="9">
        <v>0</v>
      </c>
      <c r="C9" s="9">
        <v>0</v>
      </c>
      <c r="D9" s="9">
        <v>1</v>
      </c>
      <c r="E9" s="9">
        <v>0</v>
      </c>
      <c r="F9" s="11"/>
    </row>
    <row r="10" spans="1:6">
      <c r="A10" s="10" t="s">
        <v>37</v>
      </c>
      <c r="B10" s="9">
        <v>0</v>
      </c>
      <c r="C10" s="9">
        <v>0</v>
      </c>
      <c r="D10" s="9">
        <v>0</v>
      </c>
      <c r="E10" s="9">
        <v>1</v>
      </c>
      <c r="F10" s="11"/>
    </row>
    <row r="11" spans="1:6">
      <c r="A11" s="10" t="s">
        <v>38</v>
      </c>
      <c r="B11" s="9">
        <v>1</v>
      </c>
      <c r="C11" s="9">
        <v>0</v>
      </c>
      <c r="D11" s="9">
        <v>0</v>
      </c>
      <c r="E11" s="9">
        <v>0</v>
      </c>
      <c r="F11" s="11"/>
    </row>
    <row r="12" spans="1:6">
      <c r="A12" s="10" t="s">
        <v>39</v>
      </c>
      <c r="B12" s="9">
        <v>1</v>
      </c>
      <c r="C12" s="9">
        <v>0</v>
      </c>
      <c r="D12" s="9">
        <v>0</v>
      </c>
      <c r="E12" s="9">
        <v>0</v>
      </c>
      <c r="F12" s="11"/>
    </row>
    <row r="13" spans="1:6">
      <c r="A13" s="10" t="s">
        <v>40</v>
      </c>
      <c r="B13" s="9">
        <v>0</v>
      </c>
      <c r="C13" s="9">
        <v>1</v>
      </c>
      <c r="D13" s="9">
        <v>0</v>
      </c>
      <c r="E13" s="9">
        <v>0</v>
      </c>
      <c r="F13" s="11"/>
    </row>
    <row r="14" spans="1:6">
      <c r="A14" s="10" t="s">
        <v>41</v>
      </c>
      <c r="B14" s="9">
        <v>0</v>
      </c>
      <c r="C14" s="9">
        <v>0</v>
      </c>
      <c r="D14" s="9">
        <v>1</v>
      </c>
      <c r="E14" s="9">
        <v>0</v>
      </c>
      <c r="F14" s="11"/>
    </row>
    <row r="15" spans="1:6">
      <c r="A15" s="10" t="s">
        <v>42</v>
      </c>
      <c r="B15" s="9">
        <v>0</v>
      </c>
      <c r="C15" s="9">
        <v>0</v>
      </c>
      <c r="D15" s="9">
        <v>0</v>
      </c>
      <c r="E15" s="9">
        <v>1</v>
      </c>
      <c r="F15" s="11"/>
    </row>
    <row r="16" spans="1:6">
      <c r="A16" s="10" t="s">
        <v>43</v>
      </c>
      <c r="B16" s="9">
        <v>0</v>
      </c>
      <c r="C16" s="9">
        <v>0</v>
      </c>
      <c r="D16" s="9">
        <v>0</v>
      </c>
      <c r="E16" s="9">
        <v>1</v>
      </c>
      <c r="F16" s="11"/>
    </row>
    <row r="17" spans="1:6">
      <c r="A17" s="10" t="s">
        <v>44</v>
      </c>
      <c r="B17" s="9">
        <v>0</v>
      </c>
      <c r="C17" s="9">
        <v>0</v>
      </c>
      <c r="D17" s="9">
        <v>0</v>
      </c>
      <c r="E17" s="9">
        <v>1</v>
      </c>
      <c r="F17" s="11"/>
    </row>
    <row r="18" spans="1:6">
      <c r="A18" s="10" t="s">
        <v>45</v>
      </c>
      <c r="B18" s="9">
        <v>0</v>
      </c>
      <c r="C18" s="9">
        <v>0</v>
      </c>
      <c r="D18" s="9">
        <v>0</v>
      </c>
      <c r="E18" s="9">
        <v>1</v>
      </c>
      <c r="F18" s="11"/>
    </row>
    <row r="19" spans="1:6">
      <c r="A19" s="10" t="s">
        <v>46</v>
      </c>
      <c r="B19" s="9">
        <v>0</v>
      </c>
      <c r="C19" s="9">
        <v>0</v>
      </c>
      <c r="D19" s="9">
        <v>0</v>
      </c>
      <c r="E19" s="9">
        <v>1</v>
      </c>
      <c r="F19" s="11"/>
    </row>
    <row r="20" spans="1:6">
      <c r="A20" s="10" t="s">
        <v>47</v>
      </c>
      <c r="B20" s="9">
        <v>1</v>
      </c>
      <c r="C20" s="9">
        <v>0</v>
      </c>
      <c r="D20" s="9">
        <v>0</v>
      </c>
      <c r="E20" s="9">
        <v>1</v>
      </c>
      <c r="F20" s="11"/>
    </row>
    <row r="21" spans="1:6">
      <c r="A21" s="10" t="s">
        <v>48</v>
      </c>
      <c r="B21" s="9">
        <v>1</v>
      </c>
      <c r="C21" s="9">
        <v>0</v>
      </c>
      <c r="D21" s="9">
        <v>0</v>
      </c>
      <c r="E21" s="9">
        <v>1</v>
      </c>
      <c r="F21" s="11"/>
    </row>
    <row r="22" spans="1:6">
      <c r="A22" s="10" t="s">
        <v>49</v>
      </c>
      <c r="B22" s="9">
        <v>0</v>
      </c>
      <c r="C22" s="9">
        <v>1</v>
      </c>
      <c r="D22" s="9">
        <v>0</v>
      </c>
      <c r="E22" s="9">
        <v>1</v>
      </c>
      <c r="F22" s="11"/>
    </row>
    <row r="23" spans="1:6">
      <c r="A23" s="10" t="s">
        <v>50</v>
      </c>
      <c r="B23" s="9">
        <v>0</v>
      </c>
      <c r="C23" s="9">
        <v>0</v>
      </c>
      <c r="D23" s="9">
        <v>1</v>
      </c>
      <c r="E23" s="9">
        <v>1</v>
      </c>
      <c r="F23" s="11"/>
    </row>
    <row r="24" spans="1:6">
      <c r="A24" s="10" t="s">
        <v>51</v>
      </c>
      <c r="B24" s="9">
        <v>0</v>
      </c>
      <c r="C24" s="9">
        <v>1</v>
      </c>
      <c r="D24" s="9">
        <v>0</v>
      </c>
      <c r="E24" s="9">
        <v>0</v>
      </c>
      <c r="F24" s="11"/>
    </row>
    <row r="25" spans="1:6">
      <c r="A25" s="10" t="s">
        <v>52</v>
      </c>
      <c r="B25" s="9">
        <v>0</v>
      </c>
      <c r="C25" s="9">
        <v>0</v>
      </c>
      <c r="D25" s="9">
        <v>1</v>
      </c>
      <c r="E25" s="9">
        <v>0</v>
      </c>
      <c r="F25" s="11"/>
    </row>
    <row r="26" spans="1:6">
      <c r="A26" s="10" t="s">
        <v>53</v>
      </c>
      <c r="B26" s="9">
        <v>0</v>
      </c>
      <c r="C26" s="9">
        <v>1</v>
      </c>
      <c r="D26" s="9">
        <v>0</v>
      </c>
      <c r="E26" s="9">
        <v>1</v>
      </c>
      <c r="F26" s="11"/>
    </row>
    <row r="27" spans="1:6">
      <c r="A27" s="10" t="s">
        <v>54</v>
      </c>
      <c r="B27" s="9">
        <v>0</v>
      </c>
      <c r="C27" s="9">
        <v>0</v>
      </c>
      <c r="D27" s="9">
        <v>1</v>
      </c>
      <c r="E27" s="9">
        <v>1</v>
      </c>
      <c r="F27" s="11"/>
    </row>
    <row r="28" spans="1:6">
      <c r="A28" s="10" t="s">
        <v>55</v>
      </c>
      <c r="B28" s="9">
        <v>0</v>
      </c>
      <c r="C28" s="9">
        <v>1</v>
      </c>
      <c r="D28" s="9">
        <v>0</v>
      </c>
      <c r="E28" s="9">
        <v>0</v>
      </c>
      <c r="F28" s="11"/>
    </row>
    <row r="29" spans="1:6">
      <c r="A29" s="10" t="s">
        <v>56</v>
      </c>
      <c r="B29" s="9">
        <v>0</v>
      </c>
      <c r="C29" s="9">
        <v>0</v>
      </c>
      <c r="D29" s="9">
        <v>1</v>
      </c>
      <c r="E29" s="9">
        <v>1</v>
      </c>
      <c r="F29" s="11"/>
    </row>
    <row r="30" spans="1:6">
      <c r="A30" s="10" t="s">
        <v>57</v>
      </c>
      <c r="B30" s="9">
        <v>0</v>
      </c>
      <c r="C30" s="9">
        <v>1</v>
      </c>
      <c r="D30" s="9">
        <v>0</v>
      </c>
      <c r="E30" s="9">
        <v>1</v>
      </c>
      <c r="F30" s="11"/>
    </row>
    <row r="31" spans="1:6">
      <c r="A31" s="10" t="s">
        <v>58</v>
      </c>
      <c r="B31" s="9">
        <v>0</v>
      </c>
      <c r="C31" s="9">
        <v>0</v>
      </c>
      <c r="D31" s="9">
        <v>1</v>
      </c>
      <c r="E31" s="9">
        <v>1</v>
      </c>
      <c r="F31" s="11"/>
    </row>
    <row r="32" spans="1:6">
      <c r="A32" s="10" t="s">
        <v>59</v>
      </c>
      <c r="B32" s="9">
        <v>1</v>
      </c>
      <c r="C32" s="9">
        <v>1</v>
      </c>
      <c r="D32" s="9">
        <v>0</v>
      </c>
      <c r="E32" s="9">
        <v>0</v>
      </c>
      <c r="F32" s="11"/>
    </row>
    <row r="33" spans="1:6">
      <c r="A33" s="10" t="s">
        <v>60</v>
      </c>
      <c r="B33" s="9">
        <v>1</v>
      </c>
      <c r="C33" s="9">
        <v>0</v>
      </c>
      <c r="D33" s="9">
        <v>1</v>
      </c>
      <c r="E33" s="9">
        <v>0</v>
      </c>
      <c r="F33" s="11"/>
    </row>
    <row r="34" spans="1:6">
      <c r="A34" s="10" t="s">
        <v>61</v>
      </c>
      <c r="B34" s="9">
        <v>1</v>
      </c>
      <c r="C34" s="9">
        <v>1</v>
      </c>
      <c r="D34" s="9">
        <v>0</v>
      </c>
      <c r="E34" s="9">
        <v>1</v>
      </c>
      <c r="F34" s="11"/>
    </row>
    <row r="35" spans="1:6">
      <c r="A35" s="10" t="s">
        <v>62</v>
      </c>
      <c r="B35" s="9">
        <v>1</v>
      </c>
      <c r="C35" s="9">
        <v>1</v>
      </c>
      <c r="D35" s="9">
        <v>0</v>
      </c>
      <c r="E35" s="9">
        <v>0</v>
      </c>
      <c r="F35" s="11"/>
    </row>
    <row r="36" spans="1:6">
      <c r="A36" s="10" t="s">
        <v>63</v>
      </c>
      <c r="B36" s="9">
        <v>1</v>
      </c>
      <c r="C36" s="9">
        <v>0</v>
      </c>
      <c r="D36" s="9">
        <v>1</v>
      </c>
      <c r="E36" s="9">
        <v>0</v>
      </c>
      <c r="F36" s="11"/>
    </row>
    <row r="37" spans="1:6">
      <c r="A37" s="10" t="s">
        <v>64</v>
      </c>
      <c r="B37" s="9">
        <v>1</v>
      </c>
      <c r="C37" s="9">
        <v>0</v>
      </c>
      <c r="D37" s="9">
        <v>1</v>
      </c>
      <c r="E37" s="9">
        <v>1</v>
      </c>
      <c r="F37" s="11"/>
    </row>
  </sheetData>
  <sheetProtection sheet="1" objects="1"/>
  <autoFilter ref="A1:F37">
    <extLst/>
  </autoFilter>
  <conditionalFormatting sqref="A$1:F$1048576">
    <cfRule type="expression" dxfId="1" priority="1">
      <formula>$F1=1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0" sqref="A10"/>
    </sheetView>
  </sheetViews>
  <sheetFormatPr defaultColWidth="8.88888888888889" defaultRowHeight="14.4" outlineLevelCol="1"/>
  <cols>
    <col min="1" max="1" width="15.2222222222222" customWidth="1"/>
    <col min="2" max="2" width="23.1111111111111" customWidth="1"/>
  </cols>
  <sheetData>
    <row r="1" spans="1:2">
      <c r="A1" t="s">
        <v>0</v>
      </c>
      <c r="B1" t="s">
        <v>65</v>
      </c>
    </row>
    <row r="2" spans="1:2">
      <c r="A2" t="s">
        <v>66</v>
      </c>
      <c r="B2" t="s">
        <v>67</v>
      </c>
    </row>
    <row r="3" spans="1:2">
      <c r="A3" t="s">
        <v>68</v>
      </c>
      <c r="B3" t="s">
        <v>69</v>
      </c>
    </row>
    <row r="4" spans="1:2">
      <c r="A4" t="s">
        <v>70</v>
      </c>
      <c r="B4" t="s">
        <v>71</v>
      </c>
    </row>
    <row r="5" spans="1:2">
      <c r="A5" t="s">
        <v>72</v>
      </c>
      <c r="B5" t="s">
        <v>73</v>
      </c>
    </row>
    <row r="6" spans="1:2">
      <c r="A6" t="s">
        <v>74</v>
      </c>
      <c r="B6" t="s">
        <v>75</v>
      </c>
    </row>
    <row r="7" spans="1:2">
      <c r="A7" t="s">
        <v>76</v>
      </c>
      <c r="B7" t="s">
        <v>77</v>
      </c>
    </row>
    <row r="8" spans="1:2">
      <c r="A8" t="s">
        <v>78</v>
      </c>
      <c r="B8" t="s">
        <v>79</v>
      </c>
    </row>
    <row r="9" spans="1:2">
      <c r="A9" t="s">
        <v>80</v>
      </c>
      <c r="B9" t="s">
        <v>81</v>
      </c>
    </row>
    <row r="10" spans="1:2">
      <c r="A10" t="s">
        <v>82</v>
      </c>
      <c r="B10" t="s">
        <v>83</v>
      </c>
    </row>
    <row r="11" spans="1:2">
      <c r="A11" t="s">
        <v>84</v>
      </c>
      <c r="B11" t="s">
        <v>85</v>
      </c>
    </row>
    <row r="12" spans="1:2">
      <c r="A12" t="s">
        <v>86</v>
      </c>
      <c r="B12" t="s">
        <v>87</v>
      </c>
    </row>
    <row r="14" spans="1:2">
      <c r="A14" s="8" t="s">
        <v>88</v>
      </c>
      <c r="B14" s="8" t="s">
        <v>89</v>
      </c>
    </row>
  </sheetData>
  <sheetProtection sheet="1" objects="1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A1" sqref="A1"/>
    </sheetView>
  </sheetViews>
  <sheetFormatPr defaultColWidth="8.88888888888889" defaultRowHeight="14.4" outlineLevelCol="2"/>
  <cols>
    <col min="1" max="1" width="11.8888888888889" customWidth="1"/>
    <col min="2" max="2" width="14.1111111111111" customWidth="1"/>
  </cols>
  <sheetData>
    <row r="1" ht="15.15" spans="1:2">
      <c r="A1" t="s">
        <v>90</v>
      </c>
      <c r="B1" t="s">
        <v>91</v>
      </c>
    </row>
    <row r="2" spans="1:3">
      <c r="A2" s="1" t="s">
        <v>92</v>
      </c>
      <c r="B2" s="2" t="s">
        <v>74</v>
      </c>
      <c r="C2" s="3"/>
    </row>
    <row r="3" ht="15.15" spans="1:3">
      <c r="A3" s="4"/>
      <c r="B3" s="5" t="s">
        <v>84</v>
      </c>
      <c r="C3" s="3"/>
    </row>
    <row r="4" spans="1:3">
      <c r="A4" s="1" t="s">
        <v>93</v>
      </c>
      <c r="B4" s="2" t="s">
        <v>74</v>
      </c>
      <c r="C4" s="3"/>
    </row>
    <row r="5" spans="1:3">
      <c r="A5" s="6"/>
      <c r="B5" s="7" t="s">
        <v>74</v>
      </c>
      <c r="C5" s="3"/>
    </row>
    <row r="6" spans="1:3">
      <c r="A6" s="6"/>
      <c r="B6" s="7" t="s">
        <v>68</v>
      </c>
      <c r="C6" s="3"/>
    </row>
    <row r="7" spans="1:3">
      <c r="A7" s="6"/>
      <c r="B7" s="7" t="s">
        <v>76</v>
      </c>
      <c r="C7" s="3"/>
    </row>
    <row r="8" spans="1:3">
      <c r="A8" s="6"/>
      <c r="B8" s="7" t="s">
        <v>76</v>
      </c>
      <c r="C8" s="3"/>
    </row>
    <row r="9" spans="1:3">
      <c r="A9" s="6"/>
      <c r="B9" s="7" t="s">
        <v>86</v>
      </c>
      <c r="C9" s="3"/>
    </row>
    <row r="10" spans="1:3">
      <c r="A10" s="6"/>
      <c r="B10" s="7" t="s">
        <v>66</v>
      </c>
      <c r="C10" s="3"/>
    </row>
    <row r="11" spans="1:3">
      <c r="A11" s="6"/>
      <c r="B11" s="7" t="s">
        <v>78</v>
      </c>
      <c r="C11" s="3"/>
    </row>
    <row r="12" spans="1:3">
      <c r="A12" s="6"/>
      <c r="B12" s="7" t="s">
        <v>80</v>
      </c>
      <c r="C12" s="3"/>
    </row>
    <row r="13" spans="1:3">
      <c r="A13" s="6"/>
      <c r="B13" s="7" t="s">
        <v>80</v>
      </c>
      <c r="C13" s="3"/>
    </row>
    <row r="14" ht="15.15" spans="1:3">
      <c r="A14" s="4"/>
      <c r="B14" s="5" t="s">
        <v>82</v>
      </c>
      <c r="C14" s="3"/>
    </row>
    <row r="15" spans="1:3">
      <c r="A15" s="1" t="s">
        <v>94</v>
      </c>
      <c r="B15" s="2" t="s">
        <v>72</v>
      </c>
      <c r="C15" s="3"/>
    </row>
    <row r="16" ht="15.15" spans="1:3">
      <c r="A16" s="4"/>
      <c r="B16" s="5" t="s">
        <v>70</v>
      </c>
      <c r="C16" s="3"/>
    </row>
    <row r="17" spans="1:3">
      <c r="A17" s="1" t="s">
        <v>95</v>
      </c>
      <c r="B17" s="2" t="s">
        <v>72</v>
      </c>
      <c r="C17" s="3"/>
    </row>
    <row r="18" ht="15.15" spans="1:3">
      <c r="A18" s="4"/>
      <c r="B18" s="5" t="s">
        <v>70</v>
      </c>
      <c r="C18" s="3"/>
    </row>
  </sheetData>
  <sheetProtection sheet="1" objects="1"/>
  <mergeCells count="4">
    <mergeCell ref="A2:A3"/>
    <mergeCell ref="A4:A14"/>
    <mergeCell ref="A15:A16"/>
    <mergeCell ref="A17:A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据点产出</vt:lpstr>
      <vt:lpstr>商品产出</vt:lpstr>
      <vt:lpstr>毕业产线</vt:lpstr>
      <vt:lpstr>产物</vt:lpstr>
      <vt:lpstr>蓝图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cuihx</dc:creator>
  <cp:lastModifiedBy>cuihx</cp:lastModifiedBy>
  <dcterms:created xsi:type="dcterms:W3CDTF">2026-02-08T05:48:00Z</dcterms:created>
  <dcterms:modified xsi:type="dcterms:W3CDTF">2026-02-08T15:13:33Z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133D7FA867764C8996B56053ABC7BEB5</vt:lpwstr>
  </property>
  <property fmtid="{D5CDD505-2E9C-101B-9397-08002B2CF9AE}" pid="3" name="KSOProductBuildVer">
    <vt:lpwstr>2052-11.8.2.11718</vt:lpwstr>
  </property>
  <property fmtid="{D5CDD505-2E9C-101B-9397-08002B2CF9AE}" pid="4" name="KSOReadingLayout">
    <vt:bool>true</vt:bool>
  </property>
</Properties>
</file>
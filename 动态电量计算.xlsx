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03" windowHeight="82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<sst xmlns="http://schemas.openxmlformats.org/spreadsheetml/2006/main" count="24" uniqueCount="24">
  <si>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电网电能存量</t>
  </si>
  <si>
    <t>蓝图分享</t>
  </si>
  <si>
    <t>电池</t>
  </si>
  <si>
    <t>需求</t>
  </si>
  <si>
    <t>1/3速</t>
  </si>
  <si>
    <t>EF01U9eE814EaOEA7Oa8</t>
  </si>
  <si>
    <t>消耗速度</t>
  </si>
  <si>
    <t>冗余</t>
  </si>
  <si>
    <t>1/2速</t>
  </si>
  <si>
    <t>EF01Oe4o1U3oAI3U9oe4</t>
  </si>
  <si>
    <t>生产速度</t>
  </si>
  <si>
    <t>终</t>
  </si>
  <si>
    <t>EF01eaA5I9E564a4oAi8</t>
  </si>
  <si>
    <t>可达电量</t>
  </si>
  <si>
    <t>药-紫-全</t>
  </si>
  <si>
    <t>EF01ao6i437iuA95oe5e</t>
  </si>
  <si>
    <t>最低速度</t>
  </si>
  <si>
    <t>电-紫-全</t>
  </si>
  <si>
    <t>EF01o5u1AE01263OIieO</t>
  </si>
  <si>
    <t>推荐值</t>
  </si>
  <si>
    <t>掉电校验</t>
  </si>
  <si>
    <t>满电校验</t>
  </si>
  <si>
    <t>三分</t>
  </si>
  <si>
    <t>二分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</si>
</sst>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 秒/个&quot;"/>
    <numFmt numFmtId="177" formatCode="0\ &quot; 秒&quot;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0" fontId="0" fillId="2" borderId="0" xfId="0" applyNumberFormat="1" applyFill="1" applyProtection="1">
      <alignment vertical="center"/>
      <protection locked="0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9" tint="0.4"/>
        </patternFill>
      </fill>
    </dxf>
    <dxf>
      <font>
        <color theme="0" tint="-0.1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A1" sqref="A1"/>
    </sheetView>
  </sheetViews>
  <sheetFormatPr defaultColWidth="8.88888888888889" defaultRowHeight="14.4"/>
  <cols>
    <col min="1" max="1" width="14.1111111111111" customWidth="1"/>
    <col min="2" max="2" width="10.7777777777778" customWidth="1"/>
    <col min="3" max="3" width="12.8888888888889"/>
    <col min="4" max="4" width="11.8888888888889" customWidth="1"/>
    <col min="5" max="5" width="12.8888888888889"/>
  </cols>
  <sheetData>
    <row r="1" spans="1:10">
      <c r="A1" t="s">
        <v>0</v>
      </c>
      <c r="B1">
        <v>100000</v>
      </c>
      <c r="G1" s="1" t="s">
        <v>1</v>
      </c>
      <c r="H1" s="1"/>
      <c r="I1" s="15"/>
      <c r="J1" s="15"/>
    </row>
    <row r="2" spans="1:8">
      <c r="A2" t="s">
        <v>2</v>
      </c>
      <c r="B2" s="2">
        <v>1100</v>
      </c>
      <c r="D2" t="s">
        <v>3</v>
      </c>
      <c r="E2" s="3">
        <v>0</v>
      </c>
      <c r="G2" t="s">
        <v>4</v>
      </c>
      <c r="H2" t="s">
        <v>5</v>
      </c>
    </row>
    <row r="3" spans="1:8">
      <c r="A3" t="s">
        <v>6</v>
      </c>
      <c r="B3" s="4">
        <v>40</v>
      </c>
      <c r="D3" t="s">
        <v>7</v>
      </c>
      <c r="E3" s="5">
        <v>50</v>
      </c>
      <c r="G3" t="s">
        <v>8</v>
      </c>
      <c r="H3" t="s">
        <v>9</v>
      </c>
    </row>
    <row r="4" spans="1:8">
      <c r="A4" t="s">
        <v>10</v>
      </c>
      <c r="B4" s="4">
        <v>2</v>
      </c>
      <c r="G4" t="s">
        <v>11</v>
      </c>
      <c r="H4" t="s">
        <v>12</v>
      </c>
    </row>
    <row r="5" spans="1:8">
      <c r="A5" t="s">
        <v>13</v>
      </c>
      <c r="B5">
        <f>ROUND(B3*B2/B7,2)</f>
        <v>50.93</v>
      </c>
      <c r="C5" s="6" t="str">
        <f>IF((E2+E3)&gt;B2,"警告,需求+冗余已超过发电量，一个发电机已无法满足",IF((E2+E3)&lt;=0,"警告,需求+冗余要大于0",""))</f>
        <v/>
      </c>
      <c r="G5" t="s">
        <v>14</v>
      </c>
      <c r="H5" t="s">
        <v>15</v>
      </c>
    </row>
    <row r="6" spans="1:8">
      <c r="A6" t="s">
        <v>16</v>
      </c>
      <c r="B6" s="7">
        <f>ROUND(B3/(E2+E3)*B2,2)</f>
        <v>880</v>
      </c>
      <c r="G6" t="s">
        <v>17</v>
      </c>
      <c r="H6" t="s">
        <v>18</v>
      </c>
    </row>
    <row r="7" spans="1:2">
      <c r="A7" t="s">
        <v>19</v>
      </c>
      <c r="B7" s="7">
        <f t="array" ref="B7">MAX(IF((B12:L27&lt;=B6)*ISNUMBER(B12:L27),B12:L27))</f>
        <v>864</v>
      </c>
    </row>
    <row r="8" spans="1:2">
      <c r="A8" t="s">
        <v>20</v>
      </c>
      <c r="B8" s="8">
        <f>1-((B7-B3)*E2/B1)</f>
        <v>1</v>
      </c>
    </row>
    <row r="9" spans="1:2">
      <c r="A9" t="s">
        <v>21</v>
      </c>
      <c r="B9" s="9">
        <f>ROUND(40-(B7-B3)*E2/(B2-E2),0)</f>
        <v>40</v>
      </c>
    </row>
    <row r="11" ht="15.15" spans="2:13">
      <c r="B11" s="10">
        <v>0</v>
      </c>
      <c r="C11" s="11">
        <v>1</v>
      </c>
      <c r="D11" s="11">
        <v>2</v>
      </c>
      <c r="E11" s="11">
        <v>3</v>
      </c>
      <c r="F11" s="11">
        <v>4</v>
      </c>
      <c r="G11" s="11">
        <v>5</v>
      </c>
      <c r="H11" s="11">
        <v>6</v>
      </c>
      <c r="I11" s="11">
        <v>7</v>
      </c>
      <c r="J11" s="11">
        <v>8</v>
      </c>
      <c r="K11" s="11">
        <v>9</v>
      </c>
      <c r="L11" s="11">
        <v>10</v>
      </c>
      <c r="M11" s="16" t="s">
        <v>22</v>
      </c>
    </row>
    <row r="12" spans="1:12">
      <c r="A12" s="12">
        <v>0</v>
      </c>
      <c r="B12">
        <f>$B$4*3^B$11*2^$A12</f>
        <v>2</v>
      </c>
      <c r="C12">
        <f>$B$4*3^C$11*2^$A12</f>
        <v>6</v>
      </c>
      <c r="D12">
        <f>$B$4*3^D$11*2^$A12</f>
        <v>18</v>
      </c>
      <c r="E12">
        <f>$B$4*3^E$11*2^$A12</f>
        <v>54</v>
      </c>
      <c r="F12">
        <f>$B$4*3^F$11*2^$A12</f>
        <v>162</v>
      </c>
      <c r="G12">
        <f>$B$4*3^G$11*2^$A12</f>
        <v>486</v>
      </c>
      <c r="H12">
        <f>$B$4*3^H$11*2^$A12</f>
        <v>1458</v>
      </c>
      <c r="I12">
        <f>$B$4*3^I$11*2^$A12</f>
        <v>4374</v>
      </c>
      <c r="J12">
        <f>$B$4*3^J$11*2^$A12</f>
        <v>13122</v>
      </c>
      <c r="K12">
        <f>$B$4*3^K$11*2^$A12</f>
        <v>39366</v>
      </c>
      <c r="L12">
        <f>$B$4*3^L$11*2^$A12</f>
        <v>118098</v>
      </c>
    </row>
    <row r="13" spans="1:12">
      <c r="A13" s="13">
        <v>1</v>
      </c>
      <c r="B13">
        <f>$B$4*3^B$11*2^$A13</f>
        <v>4</v>
      </c>
      <c r="C13">
        <f>$B$4*3^C$11*2^$A13</f>
        <v>12</v>
      </c>
      <c r="D13">
        <f>$B$4*3^D$11*2^$A13</f>
        <v>36</v>
      </c>
      <c r="E13">
        <f>$B$4*3^E$11*2^$A13</f>
        <v>108</v>
      </c>
      <c r="F13">
        <f>$B$4*3^F$11*2^$A13</f>
        <v>324</v>
      </c>
      <c r="G13">
        <f>$B$4*3^G$11*2^$A13</f>
        <v>972</v>
      </c>
      <c r="H13">
        <f>$B$4*3^H$11*2^$A13</f>
        <v>2916</v>
      </c>
      <c r="I13">
        <f>$B$4*3^I$11*2^$A13</f>
        <v>8748</v>
      </c>
      <c r="J13">
        <f>$B$4*3^J$11*2^$A13</f>
        <v>26244</v>
      </c>
      <c r="K13">
        <f>$B$4*3^K$11*2^$A13</f>
        <v>78732</v>
      </c>
      <c r="L13">
        <f>$B$4*3^L$11*2^$A13</f>
        <v>236196</v>
      </c>
    </row>
    <row r="14" spans="1:12">
      <c r="A14" s="13">
        <v>2</v>
      </c>
      <c r="B14">
        <f>$B$4*3^B$11*2^$A14</f>
        <v>8</v>
      </c>
      <c r="C14">
        <f>$B$4*3^C$11*2^$A14</f>
        <v>24</v>
      </c>
      <c r="D14">
        <f>$B$4*3^D$11*2^$A14</f>
        <v>72</v>
      </c>
      <c r="E14">
        <f>$B$4*3^E$11*2^$A14</f>
        <v>216</v>
      </c>
      <c r="F14">
        <f>$B$4*3^F$11*2^$A14</f>
        <v>648</v>
      </c>
      <c r="G14">
        <f>$B$4*3^G$11*2^$A14</f>
        <v>1944</v>
      </c>
      <c r="H14">
        <f>$B$4*3^H$11*2^$A14</f>
        <v>5832</v>
      </c>
      <c r="I14">
        <f>$B$4*3^I$11*2^$A14</f>
        <v>17496</v>
      </c>
      <c r="J14">
        <f>$B$4*3^J$11*2^$A14</f>
        <v>52488</v>
      </c>
      <c r="K14">
        <f>$B$4*3^K$11*2^$A14</f>
        <v>157464</v>
      </c>
      <c r="L14">
        <f>$B$4*3^L$11*2^$A14</f>
        <v>472392</v>
      </c>
    </row>
    <row r="15" spans="1:12">
      <c r="A15" s="13">
        <v>3</v>
      </c>
      <c r="B15">
        <f>$B$4*3^B$11*2^$A15</f>
        <v>16</v>
      </c>
      <c r="C15">
        <f>$B$4*3^C$11*2^$A15</f>
        <v>48</v>
      </c>
      <c r="D15">
        <f>$B$4*3^D$11*2^$A15</f>
        <v>144</v>
      </c>
      <c r="E15">
        <f>$B$4*3^E$11*2^$A15</f>
        <v>432</v>
      </c>
      <c r="F15">
        <f>$B$4*3^F$11*2^$A15</f>
        <v>1296</v>
      </c>
      <c r="G15">
        <f>$B$4*3^G$11*2^$A15</f>
        <v>3888</v>
      </c>
      <c r="H15">
        <f>$B$4*3^H$11*2^$A15</f>
        <v>11664</v>
      </c>
      <c r="I15">
        <f>$B$4*3^I$11*2^$A15</f>
        <v>34992</v>
      </c>
      <c r="J15">
        <f>$B$4*3^J$11*2^$A15</f>
        <v>104976</v>
      </c>
      <c r="K15">
        <f>$B$4*3^K$11*2^$A15</f>
        <v>314928</v>
      </c>
      <c r="L15">
        <f>$B$4*3^L$11*2^$A15</f>
        <v>944784</v>
      </c>
    </row>
    <row r="16" spans="1:12">
      <c r="A16" s="13">
        <v>4</v>
      </c>
      <c r="B16">
        <f>$B$4*3^B$11*2^$A16</f>
        <v>32</v>
      </c>
      <c r="C16">
        <f>$B$4*3^C$11*2^$A16</f>
        <v>96</v>
      </c>
      <c r="D16">
        <f>$B$4*3^D$11*2^$A16</f>
        <v>288</v>
      </c>
      <c r="E16">
        <f>$B$4*3^E$11*2^$A16</f>
        <v>864</v>
      </c>
      <c r="F16">
        <f>$B$4*3^F$11*2^$A16</f>
        <v>2592</v>
      </c>
      <c r="G16">
        <f>$B$4*3^G$11*2^$A16</f>
        <v>7776</v>
      </c>
      <c r="H16">
        <f>$B$4*3^H$11*2^$A16</f>
        <v>23328</v>
      </c>
      <c r="I16">
        <f>$B$4*3^I$11*2^$A16</f>
        <v>69984</v>
      </c>
      <c r="J16">
        <f>$B$4*3^J$11*2^$A16</f>
        <v>209952</v>
      </c>
      <c r="K16">
        <f>$B$4*3^K$11*2^$A16</f>
        <v>629856</v>
      </c>
      <c r="L16">
        <f>$B$4*3^L$11*2^$A16</f>
        <v>1889568</v>
      </c>
    </row>
    <row r="17" spans="1:12">
      <c r="A17" s="13">
        <v>5</v>
      </c>
      <c r="B17">
        <f>$B$4*3^B$11*2^$A17</f>
        <v>64</v>
      </c>
      <c r="C17">
        <f>$B$4*3^C$11*2^$A17</f>
        <v>192</v>
      </c>
      <c r="D17">
        <f>$B$4*3^D$11*2^$A17</f>
        <v>576</v>
      </c>
      <c r="E17">
        <f>$B$4*3^E$11*2^$A17</f>
        <v>1728</v>
      </c>
      <c r="F17">
        <f>$B$4*3^F$11*2^$A17</f>
        <v>5184</v>
      </c>
      <c r="G17">
        <f>$B$4*3^G$11*2^$A17</f>
        <v>15552</v>
      </c>
      <c r="H17">
        <f>$B$4*3^H$11*2^$A17</f>
        <v>46656</v>
      </c>
      <c r="I17">
        <f>$B$4*3^I$11*2^$A17</f>
        <v>139968</v>
      </c>
      <c r="J17">
        <f>$B$4*3^J$11*2^$A17</f>
        <v>419904</v>
      </c>
      <c r="K17">
        <f>$B$4*3^K$11*2^$A17</f>
        <v>1259712</v>
      </c>
      <c r="L17">
        <f>$B$4*3^L$11*2^$A17</f>
        <v>3779136</v>
      </c>
    </row>
    <row r="18" spans="1:12">
      <c r="A18" s="13">
        <v>6</v>
      </c>
      <c r="B18">
        <f>$B$4*3^B$11*2^$A18</f>
        <v>128</v>
      </c>
      <c r="C18">
        <f>$B$4*3^C$11*2^$A18</f>
        <v>384</v>
      </c>
      <c r="D18">
        <f>$B$4*3^D$11*2^$A18</f>
        <v>1152</v>
      </c>
      <c r="E18">
        <f>$B$4*3^E$11*2^$A18</f>
        <v>3456</v>
      </c>
      <c r="F18">
        <f>$B$4*3^F$11*2^$A18</f>
        <v>10368</v>
      </c>
      <c r="G18">
        <f>$B$4*3^G$11*2^$A18</f>
        <v>31104</v>
      </c>
      <c r="H18">
        <f>$B$4*3^H$11*2^$A18</f>
        <v>93312</v>
      </c>
      <c r="I18">
        <f>$B$4*3^I$11*2^$A18</f>
        <v>279936</v>
      </c>
      <c r="J18">
        <f>$B$4*3^J$11*2^$A18</f>
        <v>839808</v>
      </c>
      <c r="K18">
        <f>$B$4*3^K$11*2^$A18</f>
        <v>2519424</v>
      </c>
      <c r="L18">
        <f>$B$4*3^L$11*2^$A18</f>
        <v>7558272</v>
      </c>
    </row>
    <row r="19" spans="1:12">
      <c r="A19" s="13">
        <v>7</v>
      </c>
      <c r="B19">
        <f>$B$4*3^B$11*2^$A19</f>
        <v>256</v>
      </c>
      <c r="C19">
        <f>$B$4*3^C$11*2^$A19</f>
        <v>768</v>
      </c>
      <c r="D19">
        <f>$B$4*3^D$11*2^$A19</f>
        <v>2304</v>
      </c>
      <c r="E19">
        <f>$B$4*3^E$11*2^$A19</f>
        <v>6912</v>
      </c>
      <c r="F19">
        <f>$B$4*3^F$11*2^$A19</f>
        <v>20736</v>
      </c>
      <c r="G19">
        <f>$B$4*3^G$11*2^$A19</f>
        <v>62208</v>
      </c>
      <c r="H19">
        <f>$B$4*3^H$11*2^$A19</f>
        <v>186624</v>
      </c>
      <c r="I19">
        <f>$B$4*3^I$11*2^$A19</f>
        <v>559872</v>
      </c>
      <c r="J19">
        <f>$B$4*3^J$11*2^$A19</f>
        <v>1679616</v>
      </c>
      <c r="K19">
        <f>$B$4*3^K$11*2^$A19</f>
        <v>5038848</v>
      </c>
      <c r="L19">
        <f>$B$4*3^L$11*2^$A19</f>
        <v>15116544</v>
      </c>
    </row>
    <row r="20" spans="1:12">
      <c r="A20" s="13">
        <v>8</v>
      </c>
      <c r="B20">
        <f>$B$4*3^B$11*2^$A20</f>
        <v>512</v>
      </c>
      <c r="C20">
        <f>$B$4*3^C$11*2^$A20</f>
        <v>1536</v>
      </c>
      <c r="D20">
        <f>$B$4*3^D$11*2^$A20</f>
        <v>4608</v>
      </c>
      <c r="E20">
        <f>$B$4*3^E$11*2^$A20</f>
        <v>13824</v>
      </c>
      <c r="F20">
        <f>$B$4*3^F$11*2^$A20</f>
        <v>41472</v>
      </c>
      <c r="G20">
        <f>$B$4*3^G$11*2^$A20</f>
        <v>124416</v>
      </c>
      <c r="H20">
        <f>$B$4*3^H$11*2^$A20</f>
        <v>373248</v>
      </c>
      <c r="I20">
        <f>$B$4*3^I$11*2^$A20</f>
        <v>1119744</v>
      </c>
      <c r="J20">
        <f>$B$4*3^J$11*2^$A20</f>
        <v>3359232</v>
      </c>
      <c r="K20">
        <f>$B$4*3^K$11*2^$A20</f>
        <v>10077696</v>
      </c>
      <c r="L20">
        <f>$B$4*3^L$11*2^$A20</f>
        <v>30233088</v>
      </c>
    </row>
    <row r="21" spans="1:12">
      <c r="A21" s="13">
        <v>9</v>
      </c>
      <c r="B21">
        <f>$B$4*3^B$11*2^$A21</f>
        <v>1024</v>
      </c>
      <c r="C21">
        <f>$B$4*3^C$11*2^$A21</f>
        <v>3072</v>
      </c>
      <c r="D21">
        <f>$B$4*3^D$11*2^$A21</f>
        <v>9216</v>
      </c>
      <c r="E21">
        <f>$B$4*3^E$11*2^$A21</f>
        <v>27648</v>
      </c>
      <c r="F21">
        <f>$B$4*3^F$11*2^$A21</f>
        <v>82944</v>
      </c>
      <c r="G21">
        <f>$B$4*3^G$11*2^$A21</f>
        <v>248832</v>
      </c>
      <c r="H21">
        <f>$B$4*3^H$11*2^$A21</f>
        <v>746496</v>
      </c>
      <c r="I21">
        <f>$B$4*3^I$11*2^$A21</f>
        <v>2239488</v>
      </c>
      <c r="J21">
        <f>$B$4*3^J$11*2^$A21</f>
        <v>6718464</v>
      </c>
      <c r="K21">
        <f>$B$4*3^K$11*2^$A21</f>
        <v>20155392</v>
      </c>
      <c r="L21">
        <f>$B$4*3^L$11*2^$A21</f>
        <v>60466176</v>
      </c>
    </row>
    <row r="22" spans="1:12">
      <c r="A22" s="13">
        <v>10</v>
      </c>
      <c r="B22">
        <f>$B$4*3^B$11*2^$A22</f>
        <v>2048</v>
      </c>
      <c r="C22">
        <f>$B$4*3^C$11*2^$A22</f>
        <v>6144</v>
      </c>
      <c r="D22">
        <f>$B$4*3^D$11*2^$A22</f>
        <v>18432</v>
      </c>
      <c r="E22">
        <f>$B$4*3^E$11*2^$A22</f>
        <v>55296</v>
      </c>
      <c r="F22">
        <f>$B$4*3^F$11*2^$A22</f>
        <v>165888</v>
      </c>
      <c r="G22">
        <f>$B$4*3^G$11*2^$A22</f>
        <v>497664</v>
      </c>
      <c r="H22">
        <f>$B$4*3^H$11*2^$A22</f>
        <v>1492992</v>
      </c>
      <c r="I22">
        <f>$B$4*3^I$11*2^$A22</f>
        <v>4478976</v>
      </c>
      <c r="J22">
        <f>$B$4*3^J$11*2^$A22</f>
        <v>13436928</v>
      </c>
      <c r="K22">
        <f>$B$4*3^K$11*2^$A22</f>
        <v>40310784</v>
      </c>
      <c r="L22">
        <f>$B$4*3^L$11*2^$A22</f>
        <v>120932352</v>
      </c>
    </row>
    <row r="23" spans="1:12">
      <c r="A23" s="13">
        <v>11</v>
      </c>
      <c r="B23">
        <f>$B$4*3^B$11*2^$A23</f>
        <v>4096</v>
      </c>
      <c r="C23">
        <f>$B$4*3^C$11*2^$A23</f>
        <v>12288</v>
      </c>
      <c r="D23">
        <f>$B$4*3^D$11*2^$A23</f>
        <v>36864</v>
      </c>
      <c r="E23">
        <f>$B$4*3^E$11*2^$A23</f>
        <v>110592</v>
      </c>
      <c r="F23">
        <f>$B$4*3^F$11*2^$A23</f>
        <v>331776</v>
      </c>
      <c r="G23">
        <f>$B$4*3^G$11*2^$A23</f>
        <v>995328</v>
      </c>
      <c r="H23">
        <f>$B$4*3^H$11*2^$A23</f>
        <v>2985984</v>
      </c>
      <c r="I23">
        <f>$B$4*3^I$11*2^$A23</f>
        <v>8957952</v>
      </c>
      <c r="J23">
        <f>$B$4*3^J$11*2^$A23</f>
        <v>26873856</v>
      </c>
      <c r="K23">
        <f>$B$4*3^K$11*2^$A23</f>
        <v>80621568</v>
      </c>
      <c r="L23">
        <f>$B$4*3^L$11*2^$A23</f>
        <v>241864704</v>
      </c>
    </row>
    <row r="24" spans="1:12">
      <c r="A24" s="13">
        <v>12</v>
      </c>
      <c r="B24">
        <f>$B$4*3^B$11*2^$A24</f>
        <v>8192</v>
      </c>
      <c r="C24">
        <f>$B$4*3^C$11*2^$A24</f>
        <v>24576</v>
      </c>
      <c r="D24">
        <f>$B$4*3^D$11*2^$A24</f>
        <v>73728</v>
      </c>
      <c r="E24">
        <f>$B$4*3^E$11*2^$A24</f>
        <v>221184</v>
      </c>
      <c r="F24">
        <f>$B$4*3^F$11*2^$A24</f>
        <v>663552</v>
      </c>
      <c r="G24">
        <f>$B$4*3^G$11*2^$A24</f>
        <v>1990656</v>
      </c>
      <c r="H24">
        <f>$B$4*3^H$11*2^$A24</f>
        <v>5971968</v>
      </c>
      <c r="I24">
        <f>$B$4*3^I$11*2^$A24</f>
        <v>17915904</v>
      </c>
      <c r="J24">
        <f>$B$4*3^J$11*2^$A24</f>
        <v>53747712</v>
      </c>
      <c r="K24">
        <f>$B$4*3^K$11*2^$A24</f>
        <v>161243136</v>
      </c>
      <c r="L24">
        <f>$B$4*3^L$11*2^$A24</f>
        <v>483729408</v>
      </c>
    </row>
    <row r="25" spans="1:12">
      <c r="A25" s="13">
        <v>13</v>
      </c>
      <c r="B25">
        <f>$B$4*3^B$11*2^$A25</f>
        <v>16384</v>
      </c>
      <c r="C25">
        <f>$B$4*3^C$11*2^$A25</f>
        <v>49152</v>
      </c>
      <c r="D25">
        <f>$B$4*3^D$11*2^$A25</f>
        <v>147456</v>
      </c>
      <c r="E25">
        <f>$B$4*3^E$11*2^$A25</f>
        <v>442368</v>
      </c>
      <c r="F25">
        <f>$B$4*3^F$11*2^$A25</f>
        <v>1327104</v>
      </c>
      <c r="G25">
        <f>$B$4*3^G$11*2^$A25</f>
        <v>3981312</v>
      </c>
      <c r="H25">
        <f>$B$4*3^H$11*2^$A25</f>
        <v>11943936</v>
      </c>
      <c r="I25">
        <f>$B$4*3^I$11*2^$A25</f>
        <v>35831808</v>
      </c>
      <c r="J25">
        <f>$B$4*3^J$11*2^$A25</f>
        <v>107495424</v>
      </c>
      <c r="K25">
        <f>$B$4*3^K$11*2^$A25</f>
        <v>322486272</v>
      </c>
      <c r="L25">
        <f>$B$4*3^L$11*2^$A25</f>
        <v>967458816</v>
      </c>
    </row>
    <row r="26" spans="1:12">
      <c r="A26" s="13">
        <v>14</v>
      </c>
      <c r="B26">
        <f>$B$4*3^B$11*2^$A26</f>
        <v>32768</v>
      </c>
      <c r="C26">
        <f>$B$4*3^C$11*2^$A26</f>
        <v>98304</v>
      </c>
      <c r="D26">
        <f>$B$4*3^D$11*2^$A26</f>
        <v>294912</v>
      </c>
      <c r="E26">
        <f>$B$4*3^E$11*2^$A26</f>
        <v>884736</v>
      </c>
      <c r="F26">
        <f>$B$4*3^F$11*2^$A26</f>
        <v>2654208</v>
      </c>
      <c r="G26">
        <f>$B$4*3^G$11*2^$A26</f>
        <v>7962624</v>
      </c>
      <c r="H26">
        <f>$B$4*3^H$11*2^$A26</f>
        <v>23887872</v>
      </c>
      <c r="I26">
        <f>$B$4*3^I$11*2^$A26</f>
        <v>71663616</v>
      </c>
      <c r="J26">
        <f>$B$4*3^J$11*2^$A26</f>
        <v>214990848</v>
      </c>
      <c r="K26">
        <f>$B$4*3^K$11*2^$A26</f>
        <v>644972544</v>
      </c>
      <c r="L26">
        <f>$B$4*3^L$11*2^$A26</f>
        <v>1934917632</v>
      </c>
    </row>
    <row r="27" spans="1:12">
      <c r="A27" s="13">
        <v>15</v>
      </c>
      <c r="B27">
        <f>$B$4*3^B$11*2^$A27</f>
        <v>65536</v>
      </c>
      <c r="C27">
        <f>$B$4*3^C$11*2^$A27</f>
        <v>196608</v>
      </c>
      <c r="D27">
        <f>$B$4*3^D$11*2^$A27</f>
        <v>589824</v>
      </c>
      <c r="E27">
        <f>$B$4*3^E$11*2^$A27</f>
        <v>1769472</v>
      </c>
      <c r="F27">
        <f>$B$4*3^F$11*2^$A27</f>
        <v>5308416</v>
      </c>
      <c r="G27">
        <f>$B$4*3^G$11*2^$A27</f>
        <v>15925248</v>
      </c>
      <c r="H27">
        <f>$B$4*3^H$11*2^$A27</f>
        <v>47775744</v>
      </c>
      <c r="I27">
        <f>$B$4*3^I$11*2^$A27</f>
        <v>143327232</v>
      </c>
      <c r="J27">
        <f>$B$4*3^J$11*2^$A27</f>
        <v>429981696</v>
      </c>
      <c r="K27">
        <f>$B$4*3^K$11*2^$A27</f>
        <v>1289945088</v>
      </c>
      <c r="L27">
        <f>$B$4*3^L$11*2^$A27</f>
        <v>3869835264</v>
      </c>
    </row>
    <row r="28" ht="15.15" spans="1:1">
      <c r="A28" s="14" t="s">
        <v>23</v>
      </c>
    </row>
  </sheetData>
  <sheetProtection sheet="1" objects="1"/>
  <mergeCells count="1">
    <mergeCell ref="G1:H1"/>
  </mergeCells>
  <conditionalFormatting sqref="B12:L27">
    <cfRule type="cellIs" dxfId="0" priority="1" operator="equal">
      <formula>$B$7</formula>
    </cfRule>
    <cfRule type="cellIs" dxfId="1" priority="2" operator="notBetween">
      <formula>$B$3</formula>
      <formula>$B$2*$B$3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cuihx</dc:creator>
  <cp:lastModifiedBy>cuihx</cp:lastModifiedBy>
  <dcterms:created xsi:type="dcterms:W3CDTF">2026-02-02T15:31:00Z</dcterms:created>
  <dcterms:modified xsi:type="dcterms:W3CDTF">2026-02-03T05:44:57Z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72A6298BC8D64834AFC36CEA1592D7DE</vt:lpwstr>
  </property>
  <property fmtid="{D5CDD505-2E9C-101B-9397-08002B2CF9AE}" pid="3" name="KSOProductBuildVer">
    <vt:lpwstr>2052-11.8.2.11718</vt:lpwstr>
  </property>
  <property fmtid="{D5CDD505-2E9C-101B-9397-08002B2CF9AE}" pid="4" name="KSOReadingLayout">
    <vt:bool>true</vt:bool>
  </property>
</Properties>
</file>